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un\(LIS)2ER Initiative Dropbox\Kun Lee\Pension Regime Project\"/>
    </mc:Choice>
  </mc:AlternateContent>
  <xr:revisionPtr revIDLastSave="0" documentId="13_ncr:1_{F13BA36B-6A3E-4F7D-BA4E-FB9EC8A75BA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</calcChain>
</file>

<file path=xl/sharedStrings.xml><?xml version="1.0" encoding="utf-8"?>
<sst xmlns="http://schemas.openxmlformats.org/spreadsheetml/2006/main" count="278" uniqueCount="108">
  <si>
    <t>Australia</t>
  </si>
  <si>
    <t>AUS</t>
  </si>
  <si>
    <t>Austria</t>
  </si>
  <si>
    <t>AUT</t>
  </si>
  <si>
    <t>Belgium</t>
  </si>
  <si>
    <t>BEL</t>
  </si>
  <si>
    <t>Canada</t>
  </si>
  <si>
    <t>CAN</t>
  </si>
  <si>
    <t>Czechia</t>
  </si>
  <si>
    <t>CZE</t>
  </si>
  <si>
    <t>Denmark</t>
  </si>
  <si>
    <t>DAN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</si>
  <si>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</si>
  <si>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</si>
  <si>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</si>
  <si>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</si>
  <si>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</si>
  <si>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</si>
  <si>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</si>
  <si>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</si>
  <si>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</si>
  <si>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</si>
  <si>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</si>
  <si>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</si>
  <si>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</si>
  <si>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</si>
  <si>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</si>
  <si>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</si>
  <si>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Japan</t>
  </si>
  <si>
    <t>JPN</t>
  </si>
  <si>
    <t>Korea</t>
  </si>
  <si>
    <t>KOR</t>
  </si>
  <si>
    <t>Latvia</t>
  </si>
  <si>
    <t>LVA</t>
  </si>
  <si>
    <t>Lithuania</t>
  </si>
  <si>
    <t>LTU</t>
  </si>
  <si>
    <t>Luxembourg</t>
  </si>
  <si>
    <t>LUX</t>
  </si>
  <si>
    <t>Netherlands</t>
  </si>
  <si>
    <t>NLD</t>
  </si>
  <si>
    <t>Norway</t>
  </si>
  <si>
    <t>NOR</t>
  </si>
  <si>
    <t>Poland</t>
  </si>
  <si>
    <t>POL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</si>
  <si>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</si>
  <si>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</si>
  <si>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</si>
  <si>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</si>
  <si>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</si>
  <si>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</si>
  <si>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</si>
  <si>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</si>
  <si>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</si>
  <si>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</si>
  <si>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United Kingdom</t>
  </si>
  <si>
    <t>GBR</t>
  </si>
  <si>
    <t>United States</t>
  </si>
  <si>
    <t>USA</t>
  </si>
  <si>
    <t>country</t>
  </si>
  <si>
    <t>iso</t>
  </si>
  <si>
    <t>year</t>
  </si>
  <si>
    <t>V</t>
  </si>
  <si>
    <t>supplement</t>
  </si>
  <si>
    <t>Flat</t>
  </si>
  <si>
    <t>none</t>
  </si>
  <si>
    <t>DB</t>
  </si>
  <si>
    <t>DC</t>
  </si>
  <si>
    <t>NDC</t>
  </si>
  <si>
    <t>finance</t>
  </si>
  <si>
    <t>Tax/NI</t>
  </si>
  <si>
    <t>PAYG</t>
  </si>
  <si>
    <t>pubpenexp</t>
  </si>
  <si>
    <t>privpenexp</t>
  </si>
  <si>
    <t>oldshare</t>
  </si>
  <si>
    <t>OECD_RR50</t>
  </si>
  <si>
    <t>OECD_RR100</t>
  </si>
  <si>
    <t>OECD_RR200</t>
  </si>
  <si>
    <t>Iceland</t>
  </si>
  <si>
    <t>ISL</t>
  </si>
  <si>
    <t>meffretage</t>
  </si>
  <si>
    <t>feffretage</t>
  </si>
  <si>
    <t>mretage</t>
  </si>
  <si>
    <t>fretage</t>
  </si>
  <si>
    <t>pubtype</t>
  </si>
  <si>
    <t>Basic</t>
  </si>
  <si>
    <t>Targeted</t>
  </si>
  <si>
    <t>min_ben</t>
  </si>
  <si>
    <t>max_ben</t>
  </si>
  <si>
    <t>priv_cov</t>
  </si>
  <si>
    <t>Portugal</t>
  </si>
  <si>
    <t>PRT</t>
  </si>
  <si>
    <t>minben: source OECD PAG, SIED average wage - minimum non-contributory pensions, assuming zero contributions, zero income, but full residency</t>
  </si>
  <si>
    <t>std_fullben</t>
  </si>
  <si>
    <t>pubpenexp_pc</t>
  </si>
  <si>
    <t>privpenshare</t>
  </si>
  <si>
    <t>early</t>
  </si>
  <si>
    <t>priv_asset</t>
  </si>
  <si>
    <t>occtype1</t>
  </si>
  <si>
    <t>occtype2</t>
  </si>
  <si>
    <t>M</t>
  </si>
  <si>
    <t>qM</t>
  </si>
  <si>
    <t>apw</t>
  </si>
  <si>
    <t>std_avben</t>
  </si>
  <si>
    <t>Regime</t>
  </si>
  <si>
    <t>Dominant Public</t>
  </si>
  <si>
    <t>Residual Public</t>
  </si>
  <si>
    <t>Mature Multipillar</t>
  </si>
  <si>
    <t>Hybrid Social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</si>
</sst>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.25"/>
      <name val="Tahoma"/>
      <family val="2"/>
    </font>
    <font>
      <u/>
      <sz val="10"/>
      <color theme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5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2" fillId="0" borderId="0"/>
    <xf numFmtId="0" fontId="2" fillId="0" borderId="0"/>
    <xf numFmtId="0" fontId="3" fillId="0" borderId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</cellXfs>
  <cellStyles count="10">
    <cellStyle name="Hyperlink 2 2" xfId="8" xr:uid="{AE71A241-E17C-43CB-BAB3-1B4E00EE63BA}"/>
    <cellStyle name="Normal" xfId="0" builtinId="0"/>
    <cellStyle name="Normal 12" xfId="1" xr:uid="{4169FFBA-8955-4F92-B05D-6A9217AAD486}"/>
    <cellStyle name="Normal 13" xfId="3" xr:uid="{0849426B-8CDD-4310-A0D7-520EF043B497}"/>
    <cellStyle name="Normal 16" xfId="4" xr:uid="{EC96B079-749D-44F0-A2BC-F7BEF73D9147}"/>
    <cellStyle name="Normal 2" xfId="2" xr:uid="{2A1C3AEB-D9F8-419A-BB58-C85DB445590B}"/>
    <cellStyle name="Normal 31" xfId="9" xr:uid="{43D988AB-BE80-4968-9473-C0100A5AD44E}"/>
    <cellStyle name="Normal 6" xfId="5" xr:uid="{E54E291D-333B-4D3F-A0C9-1983AC2C3D90}"/>
    <cellStyle name="Normal 67" xfId="6" xr:uid="{9E34E1A1-59AD-40C2-AC4B-177A991AF9E0}"/>
    <cellStyle name="Normal 9" xfId="7" xr:uid="{1D2E3613-646A-45F6-9834-41462C3C7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topLeftCell="C1" workbookViewId="0">
      <selection activeCell="G17" sqref="G17"/>
    </sheetView>
  </sheetViews>
  <sheetFormatPr defaultRowHeight="14.5" x14ac:dyDescent="0.35"/>
  <cols>
    <col min="1" max="1" width="14.26953125" customWidth="1"/>
    <col min="4" max="4" width="20.6328125" customWidth="1"/>
    <col min="5" max="5" width="9.36328125" customWidth="1"/>
    <col min="6" max="6" width="14.1796875" customWidth="1"/>
    <col min="7" max="8" width="12.90625" customWidth="1"/>
    <col min="9" max="9" width="8.7265625" customWidth="1"/>
    <col min="10" max="10" width="11.7265625" customWidth="1"/>
    <col min="11" max="11" width="8.7265625" customWidth="1"/>
    <col min="12" max="12" width="13.90625" customWidth="1"/>
    <col min="13" max="13" width="8.7265625" customWidth="1"/>
    <col min="14" max="14" width="11" customWidth="1"/>
    <col min="15" max="17" width="8.7265625" customWidth="1"/>
    <col min="18" max="20" width="12.08984375" customWidth="1"/>
    <col min="21" max="21" width="13.6328125" customWidth="1"/>
    <col min="22" max="22" width="11.36328125" customWidth="1"/>
    <col min="23" max="23" width="12.90625" customWidth="1"/>
    <col min="24" max="24" width="10.08984375" customWidth="1"/>
    <col min="25" max="25" width="11.1796875" customWidth="1"/>
    <col min="26" max="26" width="10.36328125" customWidth="1"/>
  </cols>
  <sheetData>
    <row r="1" spans="1:29" s="1" customFormat="1" x14ac:dyDescent="0.35">
      <c r="A1" s="1" t="s">
        <v>58</v>
      </c>
      <c r="B1" s="1" t="s">
        <v>59</v>
      </c>
      <c r="C1" s="1" t="s">
        <v>60</v>
      </c>
      <c r="D1" s="1" t="s">
        <v>103</v>
      </c>
      <c r="E1" s="1" t="s">
        <v>83</v>
      </c>
      <c r="F1" s="1" t="s">
        <v>62</v>
      </c>
      <c r="G1" s="1" t="s">
        <v>97</v>
      </c>
      <c r="H1" s="1" t="s">
        <v>98</v>
      </c>
      <c r="I1" s="1" t="s">
        <v>68</v>
      </c>
      <c r="J1" s="1" t="s">
        <v>71</v>
      </c>
      <c r="K1" s="1" t="s">
        <v>73</v>
      </c>
      <c r="L1" s="1" t="s">
        <v>93</v>
      </c>
      <c r="M1" s="1" t="s">
        <v>86</v>
      </c>
      <c r="N1" s="1" t="s">
        <v>102</v>
      </c>
      <c r="O1" s="1" t="s">
        <v>92</v>
      </c>
      <c r="P1" s="1" t="s">
        <v>87</v>
      </c>
      <c r="Q1" s="1" t="s">
        <v>101</v>
      </c>
      <c r="R1" s="1" t="s">
        <v>74</v>
      </c>
      <c r="S1" s="1" t="s">
        <v>75</v>
      </c>
      <c r="T1" s="1" t="s">
        <v>76</v>
      </c>
      <c r="U1" s="1" t="s">
        <v>94</v>
      </c>
      <c r="V1" s="1" t="s">
        <v>72</v>
      </c>
      <c r="W1" s="1" t="s">
        <v>96</v>
      </c>
      <c r="X1" s="1" t="s">
        <v>88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95</v>
      </c>
    </row>
    <row r="2" spans="1:29" x14ac:dyDescent="0.35">
      <c r="A2" t="s">
        <v>0</v>
      </c>
      <c r="B2" t="s">
        <v>1</v>
      </c>
      <c r="C2">
        <v>2024</v>
      </c>
      <c r="D2" t="s">
        <v>106</v>
      </c>
      <c r="E2" t="s">
        <v>63</v>
      </c>
      <c r="F2" t="s">
        <v>64</v>
      </c>
      <c r="G2" t="s">
        <v>66</v>
      </c>
      <c r="H2" t="s">
        <v>99</v>
      </c>
      <c r="I2" t="s">
        <v>69</v>
      </c>
      <c r="J2">
        <v>4.5999999999999996</v>
      </c>
      <c r="K2">
        <v>17</v>
      </c>
      <c r="L2">
        <f>J2/K2</f>
        <v>0.27058823529411763</v>
      </c>
      <c r="M2">
        <v>0.3202382515578594</v>
      </c>
      <c r="N2">
        <v>0.32</v>
      </c>
      <c r="O2">
        <v>0.32</v>
      </c>
      <c r="P2">
        <v>0.32</v>
      </c>
      <c r="Q2">
        <v>91768.55</v>
      </c>
      <c r="R2">
        <v>44.9</v>
      </c>
      <c r="S2">
        <v>14.4</v>
      </c>
      <c r="T2">
        <v>0</v>
      </c>
      <c r="U2">
        <f t="shared" ref="U2:U32" si="0">V2/(V2+J2)</f>
        <v>0.46511627906976744</v>
      </c>
      <c r="V2">
        <v>4</v>
      </c>
      <c r="W2">
        <v>135.1</v>
      </c>
      <c r="X2">
        <v>78.599999999999994</v>
      </c>
      <c r="Y2">
        <v>64.929127328237996</v>
      </c>
      <c r="Z2">
        <v>64.417166324724789</v>
      </c>
      <c r="AA2">
        <v>67</v>
      </c>
      <c r="AB2">
        <v>67</v>
      </c>
      <c r="AC2">
        <f>AA2-Y2</f>
        <v>2.0708726717620038</v>
      </c>
    </row>
    <row r="3" spans="1:29" x14ac:dyDescent="0.35">
      <c r="A3" t="s">
        <v>2</v>
      </c>
      <c r="B3" t="s">
        <v>3</v>
      </c>
      <c r="C3">
        <v>2024</v>
      </c>
      <c r="D3" t="s">
        <v>104</v>
      </c>
      <c r="E3" t="s">
        <v>65</v>
      </c>
      <c r="F3" t="s">
        <v>85</v>
      </c>
      <c r="G3" t="s">
        <v>61</v>
      </c>
      <c r="H3" t="s">
        <v>61</v>
      </c>
      <c r="I3" t="s">
        <v>70</v>
      </c>
      <c r="J3">
        <v>14.8</v>
      </c>
      <c r="K3">
        <v>19.5</v>
      </c>
      <c r="L3">
        <f t="shared" ref="L3:L32" si="1">J3/K3</f>
        <v>0.75897435897435905</v>
      </c>
      <c r="M3">
        <v>0.27126536195422896</v>
      </c>
      <c r="N3">
        <v>0.56000000000000005</v>
      </c>
      <c r="O3">
        <v>0.64</v>
      </c>
      <c r="P3">
        <v>1.0900000000000001</v>
      </c>
      <c r="Q3">
        <v>53879.05</v>
      </c>
      <c r="R3">
        <v>74.099999999999994</v>
      </c>
      <c r="S3">
        <v>74.099999999999994</v>
      </c>
      <c r="T3">
        <v>52.5</v>
      </c>
      <c r="U3">
        <f t="shared" si="0"/>
        <v>3.896103896103896E-2</v>
      </c>
      <c r="V3">
        <v>0.6</v>
      </c>
      <c r="W3">
        <v>7.2</v>
      </c>
      <c r="X3">
        <v>16</v>
      </c>
      <c r="Y3">
        <v>62.727647662061791</v>
      </c>
      <c r="Z3">
        <v>61.179216283662072</v>
      </c>
      <c r="AA3">
        <v>65</v>
      </c>
      <c r="AB3">
        <v>60.6</v>
      </c>
      <c r="AC3">
        <f t="shared" ref="AC3:AC32" si="2">AA3-Y3</f>
        <v>2.2723523379382087</v>
      </c>
    </row>
    <row r="4" spans="1:29" x14ac:dyDescent="0.35">
      <c r="A4" t="s">
        <v>4</v>
      </c>
      <c r="B4" t="s">
        <v>5</v>
      </c>
      <c r="C4">
        <v>2024</v>
      </c>
      <c r="D4" t="s">
        <v>107</v>
      </c>
      <c r="E4" t="s">
        <v>65</v>
      </c>
      <c r="F4" t="s">
        <v>85</v>
      </c>
      <c r="G4" t="s">
        <v>61</v>
      </c>
      <c r="H4" t="s">
        <v>61</v>
      </c>
      <c r="I4" t="s">
        <v>70</v>
      </c>
      <c r="J4">
        <v>11.7</v>
      </c>
      <c r="K4">
        <v>19.7</v>
      </c>
      <c r="L4">
        <f t="shared" si="1"/>
        <v>0.59390862944162437</v>
      </c>
      <c r="M4">
        <v>0.30622350628042588</v>
      </c>
      <c r="N4">
        <v>0.34</v>
      </c>
      <c r="O4">
        <v>0.36</v>
      </c>
      <c r="P4">
        <v>0.7</v>
      </c>
      <c r="Q4">
        <v>60717.22</v>
      </c>
      <c r="R4">
        <v>61.7</v>
      </c>
      <c r="S4">
        <v>43.5</v>
      </c>
      <c r="T4">
        <v>28.2</v>
      </c>
      <c r="U4">
        <f t="shared" si="0"/>
        <v>8.5937500000000014E-2</v>
      </c>
      <c r="V4">
        <v>1.1000000000000001</v>
      </c>
      <c r="W4">
        <v>30.3</v>
      </c>
      <c r="X4">
        <v>59.4</v>
      </c>
      <c r="Y4">
        <v>62.42916811934311</v>
      </c>
      <c r="Z4">
        <v>60.595909671285796</v>
      </c>
      <c r="AA4">
        <v>65</v>
      </c>
      <c r="AB4">
        <v>65</v>
      </c>
      <c r="AC4">
        <f t="shared" si="2"/>
        <v>2.5708318806568897</v>
      </c>
    </row>
    <row r="5" spans="1:29" x14ac:dyDescent="0.35">
      <c r="A5" t="s">
        <v>6</v>
      </c>
      <c r="B5" t="s">
        <v>7</v>
      </c>
      <c r="C5">
        <v>2024</v>
      </c>
      <c r="D5" t="s">
        <v>106</v>
      </c>
      <c r="E5" t="s">
        <v>65</v>
      </c>
      <c r="F5" t="s">
        <v>84</v>
      </c>
      <c r="G5" t="s">
        <v>61</v>
      </c>
      <c r="H5" t="s">
        <v>61</v>
      </c>
      <c r="I5" t="s">
        <v>70</v>
      </c>
      <c r="J5">
        <v>6.1</v>
      </c>
      <c r="K5">
        <v>18.7</v>
      </c>
      <c r="L5">
        <f t="shared" si="1"/>
        <v>0.3262032085561497</v>
      </c>
      <c r="M5">
        <v>0.27008187977446685</v>
      </c>
      <c r="N5">
        <v>0.34</v>
      </c>
      <c r="O5">
        <v>0.36</v>
      </c>
      <c r="P5">
        <v>0.37</v>
      </c>
      <c r="Q5">
        <v>79587.42</v>
      </c>
      <c r="R5">
        <v>47.3</v>
      </c>
      <c r="S5">
        <v>37.1</v>
      </c>
      <c r="T5">
        <v>18.5</v>
      </c>
      <c r="U5">
        <f t="shared" si="0"/>
        <v>0.39603960396039606</v>
      </c>
      <c r="V5">
        <v>4</v>
      </c>
      <c r="W5">
        <v>157.9</v>
      </c>
      <c r="X5">
        <v>28.4</v>
      </c>
      <c r="Y5">
        <v>65.154770120740622</v>
      </c>
      <c r="Z5">
        <v>63.152669647917357</v>
      </c>
      <c r="AA5">
        <v>65</v>
      </c>
      <c r="AB5">
        <v>65</v>
      </c>
      <c r="AC5">
        <f t="shared" si="2"/>
        <v>-0.15477012074062202</v>
      </c>
    </row>
    <row r="6" spans="1:29" x14ac:dyDescent="0.35">
      <c r="A6" t="s">
        <v>8</v>
      </c>
      <c r="B6" t="s">
        <v>9</v>
      </c>
      <c r="C6">
        <v>2024</v>
      </c>
      <c r="D6" t="s">
        <v>107</v>
      </c>
      <c r="E6" t="s">
        <v>65</v>
      </c>
      <c r="F6" t="s">
        <v>84</v>
      </c>
      <c r="G6" t="s">
        <v>61</v>
      </c>
      <c r="H6" t="s">
        <v>61</v>
      </c>
      <c r="I6" t="s">
        <v>70</v>
      </c>
      <c r="J6">
        <v>8.5</v>
      </c>
      <c r="K6">
        <v>20.399999999999999</v>
      </c>
      <c r="L6">
        <f t="shared" si="1"/>
        <v>0.41666666666666669</v>
      </c>
      <c r="M6">
        <v>0.10620772884132432</v>
      </c>
      <c r="N6">
        <v>0.4</v>
      </c>
      <c r="O6">
        <v>0.48</v>
      </c>
      <c r="Q6">
        <v>549112.57999999996</v>
      </c>
      <c r="R6">
        <v>71.400000000000006</v>
      </c>
      <c r="S6">
        <v>44.2</v>
      </c>
      <c r="T6">
        <v>30.6</v>
      </c>
      <c r="U6">
        <f t="shared" si="0"/>
        <v>4.49438202247191E-2</v>
      </c>
      <c r="V6">
        <v>0.4</v>
      </c>
      <c r="W6">
        <v>7.8</v>
      </c>
      <c r="X6">
        <v>52.2</v>
      </c>
      <c r="Y6">
        <v>64.177829185081649</v>
      </c>
      <c r="Z6">
        <v>63.0481303102382</v>
      </c>
      <c r="AA6">
        <v>64.2</v>
      </c>
      <c r="AB6">
        <v>64.2</v>
      </c>
      <c r="AC6">
        <f t="shared" si="2"/>
        <v>2.2170814918354154E-2</v>
      </c>
    </row>
    <row r="7" spans="1:29" x14ac:dyDescent="0.35">
      <c r="A7" t="s">
        <v>10</v>
      </c>
      <c r="B7" t="s">
        <v>11</v>
      </c>
      <c r="C7">
        <v>2024</v>
      </c>
      <c r="D7" t="s">
        <v>106</v>
      </c>
      <c r="E7" t="s">
        <v>63</v>
      </c>
      <c r="F7" t="s">
        <v>66</v>
      </c>
      <c r="G7" t="s">
        <v>66</v>
      </c>
      <c r="H7" t="s">
        <v>100</v>
      </c>
      <c r="I7" t="s">
        <v>69</v>
      </c>
      <c r="J7">
        <v>9.3000000000000007</v>
      </c>
      <c r="K7">
        <v>20.399999999999999</v>
      </c>
      <c r="L7">
        <f t="shared" si="1"/>
        <v>0.45588235294117652</v>
      </c>
      <c r="M7">
        <v>0.34439801185277807</v>
      </c>
      <c r="N7">
        <v>0.42</v>
      </c>
      <c r="O7">
        <v>0.42</v>
      </c>
      <c r="P7">
        <v>0.42</v>
      </c>
      <c r="Q7">
        <v>520699.87</v>
      </c>
      <c r="R7">
        <v>71.400000000000006</v>
      </c>
      <c r="S7">
        <v>29</v>
      </c>
      <c r="T7">
        <v>9.8000000000000007</v>
      </c>
      <c r="U7">
        <f t="shared" si="0"/>
        <v>0.17699115044247787</v>
      </c>
      <c r="V7">
        <v>2</v>
      </c>
      <c r="W7">
        <v>206.4</v>
      </c>
      <c r="X7">
        <v>90</v>
      </c>
      <c r="Y7">
        <v>66.276823326462832</v>
      </c>
      <c r="Z7">
        <v>63.535371215988398</v>
      </c>
      <c r="AA7">
        <v>67</v>
      </c>
      <c r="AB7">
        <v>67</v>
      </c>
      <c r="AC7">
        <f t="shared" si="2"/>
        <v>0.72317667353716786</v>
      </c>
    </row>
    <row r="8" spans="1:29" x14ac:dyDescent="0.35">
      <c r="A8" t="s">
        <v>12</v>
      </c>
      <c r="B8" t="s">
        <v>13</v>
      </c>
      <c r="C8">
        <v>2024</v>
      </c>
      <c r="D8" t="s">
        <v>105</v>
      </c>
      <c r="E8" t="s">
        <v>65</v>
      </c>
      <c r="F8" t="s">
        <v>84</v>
      </c>
      <c r="G8" t="s">
        <v>61</v>
      </c>
      <c r="H8" t="s">
        <v>61</v>
      </c>
      <c r="I8" t="s">
        <v>70</v>
      </c>
      <c r="J8">
        <v>6.9</v>
      </c>
      <c r="K8">
        <v>20.3</v>
      </c>
      <c r="L8">
        <f t="shared" si="1"/>
        <v>0.33990147783251234</v>
      </c>
      <c r="M8">
        <v>0.19312700416958115</v>
      </c>
      <c r="N8">
        <v>0.35</v>
      </c>
      <c r="O8">
        <v>0.4</v>
      </c>
      <c r="Q8">
        <v>23117.43</v>
      </c>
      <c r="R8">
        <v>51.2</v>
      </c>
      <c r="S8">
        <v>29.3</v>
      </c>
      <c r="T8">
        <v>18.399999999999999</v>
      </c>
      <c r="U8">
        <f t="shared" si="0"/>
        <v>0</v>
      </c>
      <c r="V8">
        <v>0</v>
      </c>
      <c r="W8">
        <v>18</v>
      </c>
      <c r="X8">
        <v>66.7</v>
      </c>
      <c r="Y8">
        <v>66.857203345364752</v>
      </c>
      <c r="Z8">
        <v>67.269167125555882</v>
      </c>
      <c r="AA8">
        <v>64.8</v>
      </c>
      <c r="AB8">
        <v>64.8</v>
      </c>
      <c r="AC8">
        <f t="shared" si="2"/>
        <v>-2.0572033453647549</v>
      </c>
    </row>
    <row r="9" spans="1:29" x14ac:dyDescent="0.35">
      <c r="A9" t="s">
        <v>14</v>
      </c>
      <c r="B9" t="s">
        <v>15</v>
      </c>
      <c r="C9">
        <v>2024</v>
      </c>
      <c r="D9" t="s">
        <v>104</v>
      </c>
      <c r="E9" t="s">
        <v>65</v>
      </c>
      <c r="F9" t="s">
        <v>85</v>
      </c>
      <c r="G9" t="s">
        <v>61</v>
      </c>
      <c r="H9" t="s">
        <v>61</v>
      </c>
      <c r="I9" t="s">
        <v>70</v>
      </c>
      <c r="J9">
        <v>13.7</v>
      </c>
      <c r="K9">
        <v>23.2</v>
      </c>
      <c r="L9">
        <f t="shared" si="1"/>
        <v>0.59051724137931039</v>
      </c>
      <c r="M9">
        <v>0.26620188227683172</v>
      </c>
      <c r="N9">
        <v>0.61</v>
      </c>
      <c r="O9">
        <v>0.65</v>
      </c>
      <c r="Q9">
        <v>44023.28</v>
      </c>
      <c r="R9">
        <v>57.8</v>
      </c>
      <c r="S9">
        <v>57.8</v>
      </c>
      <c r="T9">
        <v>57.8</v>
      </c>
      <c r="U9">
        <f t="shared" si="0"/>
        <v>7.2463768115942039E-3</v>
      </c>
      <c r="V9">
        <v>0.1</v>
      </c>
      <c r="W9">
        <v>65.2</v>
      </c>
      <c r="X9">
        <v>25</v>
      </c>
      <c r="Y9">
        <v>63.529188156961439</v>
      </c>
      <c r="Z9">
        <v>62.870562966140447</v>
      </c>
      <c r="AA9">
        <v>65</v>
      </c>
      <c r="AB9">
        <v>65</v>
      </c>
      <c r="AC9">
        <f t="shared" si="2"/>
        <v>1.4708118430385611</v>
      </c>
    </row>
    <row r="10" spans="1:29" x14ac:dyDescent="0.35">
      <c r="A10" t="s">
        <v>16</v>
      </c>
      <c r="B10" t="s">
        <v>17</v>
      </c>
      <c r="C10">
        <v>2024</v>
      </c>
      <c r="D10" t="s">
        <v>104</v>
      </c>
      <c r="E10" t="s">
        <v>65</v>
      </c>
      <c r="F10" t="s">
        <v>85</v>
      </c>
      <c r="G10" t="s">
        <v>65</v>
      </c>
      <c r="H10" t="s">
        <v>99</v>
      </c>
      <c r="I10" t="s">
        <v>70</v>
      </c>
      <c r="J10">
        <v>14</v>
      </c>
      <c r="K10">
        <v>21</v>
      </c>
      <c r="L10">
        <f t="shared" si="1"/>
        <v>0.66666666666666663</v>
      </c>
      <c r="M10">
        <v>0.34633690066390749</v>
      </c>
      <c r="N10">
        <v>0.28999999999999998</v>
      </c>
      <c r="O10">
        <v>0.47</v>
      </c>
      <c r="P10">
        <v>0.65</v>
      </c>
      <c r="Q10">
        <v>35836.32</v>
      </c>
      <c r="R10">
        <v>56.6</v>
      </c>
      <c r="S10">
        <v>56.6</v>
      </c>
      <c r="T10">
        <v>47.4</v>
      </c>
      <c r="U10">
        <f t="shared" si="0"/>
        <v>2.0979020979020976E-2</v>
      </c>
      <c r="V10">
        <v>0.3</v>
      </c>
      <c r="W10">
        <v>12.9</v>
      </c>
      <c r="X10">
        <v>27.7</v>
      </c>
      <c r="Y10">
        <v>61.931332850791769</v>
      </c>
      <c r="Z10">
        <v>62.422629722064059</v>
      </c>
      <c r="AA10">
        <v>64.3</v>
      </c>
      <c r="AB10">
        <v>64.3</v>
      </c>
      <c r="AC10">
        <f t="shared" si="2"/>
        <v>2.3686671492082283</v>
      </c>
    </row>
    <row r="11" spans="1:29" x14ac:dyDescent="0.35">
      <c r="A11" t="s">
        <v>18</v>
      </c>
      <c r="B11" t="s">
        <v>19</v>
      </c>
      <c r="C11">
        <v>2024</v>
      </c>
      <c r="D11" t="s">
        <v>107</v>
      </c>
      <c r="E11" t="s">
        <v>65</v>
      </c>
      <c r="F11" t="s">
        <v>85</v>
      </c>
      <c r="G11" t="s">
        <v>61</v>
      </c>
      <c r="H11" t="s">
        <v>61</v>
      </c>
      <c r="I11" t="s">
        <v>70</v>
      </c>
      <c r="J11">
        <v>11.6</v>
      </c>
      <c r="K11">
        <v>22.1</v>
      </c>
      <c r="L11">
        <f t="shared" si="1"/>
        <v>0.52488687782805421</v>
      </c>
      <c r="M11">
        <v>0.2279228149829739</v>
      </c>
      <c r="N11">
        <v>0.33</v>
      </c>
      <c r="O11">
        <v>0.41</v>
      </c>
      <c r="P11">
        <v>0.73</v>
      </c>
      <c r="Q11">
        <v>52860</v>
      </c>
      <c r="R11">
        <v>46.3</v>
      </c>
      <c r="S11">
        <v>42.1</v>
      </c>
      <c r="T11">
        <v>30.2</v>
      </c>
      <c r="U11">
        <f t="shared" si="0"/>
        <v>5.6910569105691061E-2</v>
      </c>
      <c r="V11">
        <v>0.7</v>
      </c>
      <c r="W11">
        <v>6.4</v>
      </c>
      <c r="X11">
        <v>66</v>
      </c>
      <c r="Y11">
        <v>64.180905473248828</v>
      </c>
      <c r="Z11">
        <v>63.910254601688514</v>
      </c>
      <c r="AA11">
        <v>66.2</v>
      </c>
      <c r="AB11">
        <v>66.2</v>
      </c>
      <c r="AC11">
        <f t="shared" si="2"/>
        <v>2.0190945267511751</v>
      </c>
    </row>
    <row r="12" spans="1:29" x14ac:dyDescent="0.35">
      <c r="A12" t="s">
        <v>20</v>
      </c>
      <c r="B12" t="s">
        <v>21</v>
      </c>
      <c r="C12">
        <v>2024</v>
      </c>
      <c r="D12" t="s">
        <v>104</v>
      </c>
      <c r="E12" t="s">
        <v>67</v>
      </c>
      <c r="F12" t="s">
        <v>84</v>
      </c>
      <c r="G12" t="s">
        <v>61</v>
      </c>
      <c r="H12" t="s">
        <v>61</v>
      </c>
      <c r="I12" t="s">
        <v>70</v>
      </c>
      <c r="J12">
        <v>16.2</v>
      </c>
      <c r="K12">
        <v>22.8</v>
      </c>
      <c r="L12">
        <f t="shared" si="1"/>
        <v>0.71052631578947367</v>
      </c>
      <c r="M12">
        <v>0.20125940344356719</v>
      </c>
      <c r="N12">
        <v>0.76</v>
      </c>
      <c r="O12">
        <v>1.1100000000000001</v>
      </c>
      <c r="Q12">
        <v>23822.39</v>
      </c>
      <c r="R12">
        <v>91.4</v>
      </c>
      <c r="S12">
        <v>79.599999999999994</v>
      </c>
      <c r="T12">
        <v>73.7</v>
      </c>
      <c r="U12">
        <f t="shared" si="0"/>
        <v>6.1349693251533744E-3</v>
      </c>
      <c r="V12">
        <v>0.1</v>
      </c>
      <c r="W12">
        <v>1.1000000000000001</v>
      </c>
      <c r="X12">
        <v>2.4</v>
      </c>
      <c r="Y12">
        <v>63.673955895888277</v>
      </c>
      <c r="Z12">
        <v>61.873342107176413</v>
      </c>
      <c r="AA12">
        <v>62</v>
      </c>
      <c r="AB12">
        <v>62</v>
      </c>
      <c r="AC12">
        <f t="shared" si="2"/>
        <v>-1.6739558958882768</v>
      </c>
    </row>
    <row r="13" spans="1:29" x14ac:dyDescent="0.35">
      <c r="A13" t="s">
        <v>22</v>
      </c>
      <c r="B13" t="s">
        <v>23</v>
      </c>
      <c r="C13">
        <v>2024</v>
      </c>
      <c r="D13" t="s">
        <v>107</v>
      </c>
      <c r="E13" t="s">
        <v>65</v>
      </c>
      <c r="F13" t="s">
        <v>85</v>
      </c>
      <c r="G13" t="s">
        <v>61</v>
      </c>
      <c r="H13" t="s">
        <v>61</v>
      </c>
      <c r="I13" t="s">
        <v>70</v>
      </c>
      <c r="J13">
        <v>8.1</v>
      </c>
      <c r="K13">
        <v>20.5</v>
      </c>
      <c r="L13">
        <f t="shared" si="1"/>
        <v>0.39512195121951216</v>
      </c>
      <c r="M13">
        <v>5.072082799487556E-2</v>
      </c>
      <c r="N13">
        <v>0.39</v>
      </c>
      <c r="O13">
        <v>0.49</v>
      </c>
      <c r="Q13">
        <v>8091350.5599999996</v>
      </c>
      <c r="R13">
        <v>53.7</v>
      </c>
      <c r="S13">
        <v>51.9</v>
      </c>
      <c r="T13">
        <v>50.9</v>
      </c>
      <c r="U13">
        <f t="shared" si="0"/>
        <v>0</v>
      </c>
      <c r="V13">
        <v>0</v>
      </c>
      <c r="W13">
        <v>4.8</v>
      </c>
      <c r="X13">
        <v>18.399999999999999</v>
      </c>
      <c r="Y13">
        <v>63.620244637704211</v>
      </c>
      <c r="Z13">
        <v>61.960217117749515</v>
      </c>
      <c r="AA13">
        <v>65</v>
      </c>
      <c r="AB13">
        <v>62</v>
      </c>
      <c r="AC13">
        <f t="shared" si="2"/>
        <v>1.3797553622957892</v>
      </c>
    </row>
    <row r="14" spans="1:29" x14ac:dyDescent="0.35">
      <c r="A14" t="s">
        <v>77</v>
      </c>
      <c r="B14" t="s">
        <v>78</v>
      </c>
      <c r="C14">
        <v>2024</v>
      </c>
      <c r="D14" t="s">
        <v>106</v>
      </c>
      <c r="E14" t="s">
        <v>63</v>
      </c>
      <c r="F14" t="s">
        <v>64</v>
      </c>
      <c r="G14" t="s">
        <v>66</v>
      </c>
      <c r="H14" t="s">
        <v>99</v>
      </c>
      <c r="I14" t="s">
        <v>69</v>
      </c>
      <c r="J14">
        <v>3.3</v>
      </c>
      <c r="K14">
        <v>15.4</v>
      </c>
      <c r="L14">
        <f t="shared" si="1"/>
        <v>0.21428571428571427</v>
      </c>
      <c r="M14">
        <v>0.43470661486874806</v>
      </c>
      <c r="N14">
        <v>0.75</v>
      </c>
      <c r="O14">
        <v>0.43</v>
      </c>
      <c r="P14">
        <v>0.57999999999999996</v>
      </c>
      <c r="Q14">
        <v>11811028</v>
      </c>
      <c r="R14">
        <v>25.9</v>
      </c>
      <c r="S14">
        <v>0.5</v>
      </c>
      <c r="T14">
        <v>0</v>
      </c>
      <c r="U14">
        <f t="shared" si="0"/>
        <v>0.61176470588235299</v>
      </c>
      <c r="V14">
        <v>5.2</v>
      </c>
      <c r="W14">
        <v>191.3</v>
      </c>
      <c r="X14">
        <v>81.2</v>
      </c>
      <c r="Y14">
        <v>68.714373424853278</v>
      </c>
      <c r="Z14">
        <v>65.933580602705291</v>
      </c>
      <c r="AA14">
        <v>67</v>
      </c>
      <c r="AB14">
        <v>67</v>
      </c>
      <c r="AC14">
        <f t="shared" si="2"/>
        <v>-1.714373424853278</v>
      </c>
    </row>
    <row r="15" spans="1:29" x14ac:dyDescent="0.35">
      <c r="A15" t="s">
        <v>24</v>
      </c>
      <c r="B15" t="s">
        <v>25</v>
      </c>
      <c r="C15">
        <v>2024</v>
      </c>
      <c r="D15" t="s">
        <v>106</v>
      </c>
      <c r="E15" t="s">
        <v>63</v>
      </c>
      <c r="F15" t="s">
        <v>85</v>
      </c>
      <c r="G15" t="s">
        <v>66</v>
      </c>
      <c r="H15" t="s">
        <v>100</v>
      </c>
      <c r="I15" t="s">
        <v>69</v>
      </c>
      <c r="J15">
        <v>3</v>
      </c>
      <c r="K15">
        <v>15.1</v>
      </c>
      <c r="L15">
        <f t="shared" si="1"/>
        <v>0.19867549668874174</v>
      </c>
      <c r="M15">
        <v>0.32437148234631724</v>
      </c>
      <c r="N15">
        <v>0.36</v>
      </c>
      <c r="O15">
        <v>0.36</v>
      </c>
      <c r="P15">
        <v>0.36</v>
      </c>
      <c r="Q15">
        <v>43052.49</v>
      </c>
      <c r="R15">
        <v>48.5</v>
      </c>
      <c r="S15">
        <v>24.3</v>
      </c>
      <c r="T15">
        <v>12.1</v>
      </c>
      <c r="U15">
        <f t="shared" si="0"/>
        <v>0.2105263157894737</v>
      </c>
      <c r="V15">
        <v>0.8</v>
      </c>
      <c r="W15">
        <v>26.2</v>
      </c>
      <c r="X15">
        <v>67</v>
      </c>
      <c r="Y15">
        <v>66.082294658277391</v>
      </c>
      <c r="Z15">
        <v>66.007905420341231</v>
      </c>
      <c r="AA15">
        <v>66</v>
      </c>
      <c r="AB15">
        <v>66</v>
      </c>
      <c r="AC15">
        <f t="shared" si="2"/>
        <v>-8.2294658277390909E-2</v>
      </c>
    </row>
    <row r="16" spans="1:29" x14ac:dyDescent="0.35">
      <c r="A16" t="s">
        <v>26</v>
      </c>
      <c r="B16" t="s">
        <v>27</v>
      </c>
      <c r="C16">
        <v>2024</v>
      </c>
      <c r="D16" t="s">
        <v>104</v>
      </c>
      <c r="E16" t="s">
        <v>67</v>
      </c>
      <c r="F16" t="s">
        <v>85</v>
      </c>
      <c r="G16" t="s">
        <v>61</v>
      </c>
      <c r="H16" t="s">
        <v>61</v>
      </c>
      <c r="I16" t="s">
        <v>70</v>
      </c>
      <c r="J16">
        <v>16.2</v>
      </c>
      <c r="K16">
        <v>23.9</v>
      </c>
      <c r="L16">
        <f t="shared" si="1"/>
        <v>0.67782426778242677</v>
      </c>
      <c r="M16">
        <v>0.20597613731406475</v>
      </c>
      <c r="N16">
        <v>0.63</v>
      </c>
      <c r="O16">
        <v>0.69</v>
      </c>
      <c r="Q16">
        <v>33728.81</v>
      </c>
      <c r="R16">
        <v>70.599999999999994</v>
      </c>
      <c r="S16">
        <v>70.599999999999994</v>
      </c>
      <c r="T16">
        <v>70.3</v>
      </c>
      <c r="U16">
        <f t="shared" si="0"/>
        <v>4.7058823529411764E-2</v>
      </c>
      <c r="V16">
        <v>0.8</v>
      </c>
      <c r="W16">
        <v>11.7</v>
      </c>
      <c r="X16">
        <v>26.7</v>
      </c>
      <c r="Y16">
        <v>63.983086951108987</v>
      </c>
      <c r="Z16">
        <v>62.5845201881869</v>
      </c>
      <c r="AA16">
        <v>64.8</v>
      </c>
      <c r="AB16">
        <v>63.8</v>
      </c>
      <c r="AC16">
        <f t="shared" si="2"/>
        <v>0.81691304889100991</v>
      </c>
    </row>
    <row r="17" spans="1:29" x14ac:dyDescent="0.35">
      <c r="A17" t="s">
        <v>28</v>
      </c>
      <c r="B17" t="s">
        <v>29</v>
      </c>
      <c r="C17">
        <v>2024</v>
      </c>
      <c r="D17" t="s">
        <v>105</v>
      </c>
      <c r="E17" t="s">
        <v>65</v>
      </c>
      <c r="F17" t="s">
        <v>84</v>
      </c>
      <c r="G17" t="s">
        <v>61</v>
      </c>
      <c r="H17" t="s">
        <v>61</v>
      </c>
      <c r="I17" t="s">
        <v>70</v>
      </c>
      <c r="J17">
        <v>9.6</v>
      </c>
      <c r="K17">
        <v>29</v>
      </c>
      <c r="L17">
        <f t="shared" si="1"/>
        <v>0.33103448275862069</v>
      </c>
      <c r="M17">
        <v>4.7300804555913255E-2</v>
      </c>
      <c r="N17">
        <v>0.27</v>
      </c>
      <c r="O17">
        <v>0.31</v>
      </c>
      <c r="P17">
        <v>0.56000000000000005</v>
      </c>
      <c r="Q17">
        <v>5426969</v>
      </c>
      <c r="R17">
        <v>51.4</v>
      </c>
      <c r="S17">
        <v>36.5</v>
      </c>
      <c r="T17">
        <v>29</v>
      </c>
      <c r="U17">
        <f t="shared" si="0"/>
        <v>0.21951219512195122</v>
      </c>
      <c r="V17">
        <v>2.7</v>
      </c>
      <c r="W17">
        <v>29.2</v>
      </c>
      <c r="X17">
        <v>58.8</v>
      </c>
      <c r="Y17">
        <v>66.91953014035019</v>
      </c>
      <c r="Z17">
        <v>67.35748271173685</v>
      </c>
      <c r="AA17">
        <v>65</v>
      </c>
      <c r="AB17">
        <v>65</v>
      </c>
      <c r="AC17">
        <f t="shared" si="2"/>
        <v>-1.9195301403501901</v>
      </c>
    </row>
    <row r="18" spans="1:29" x14ac:dyDescent="0.35">
      <c r="A18" t="s">
        <v>30</v>
      </c>
      <c r="B18" t="s">
        <v>31</v>
      </c>
      <c r="C18">
        <v>2024</v>
      </c>
      <c r="D18" t="s">
        <v>105</v>
      </c>
      <c r="E18" t="s">
        <v>65</v>
      </c>
      <c r="F18" t="s">
        <v>85</v>
      </c>
      <c r="G18" t="s">
        <v>61</v>
      </c>
      <c r="H18" t="s">
        <v>61</v>
      </c>
      <c r="I18" t="s">
        <v>70</v>
      </c>
      <c r="J18">
        <v>3.8</v>
      </c>
      <c r="K18">
        <v>17.399999999999999</v>
      </c>
      <c r="L18">
        <f t="shared" si="1"/>
        <v>0.21839080459770116</v>
      </c>
      <c r="M18">
        <v>7.0043933054393312E-2</v>
      </c>
      <c r="N18">
        <v>0.37</v>
      </c>
      <c r="O18">
        <v>0.42</v>
      </c>
      <c r="P18">
        <v>1.29</v>
      </c>
      <c r="Q18">
        <v>57360000</v>
      </c>
      <c r="R18">
        <v>50.6</v>
      </c>
      <c r="S18">
        <v>33.4</v>
      </c>
      <c r="T18">
        <v>20.2</v>
      </c>
      <c r="U18">
        <f t="shared" si="0"/>
        <v>0.24</v>
      </c>
      <c r="V18">
        <v>1.2</v>
      </c>
      <c r="W18">
        <v>31.8</v>
      </c>
      <c r="X18">
        <v>17</v>
      </c>
      <c r="Y18">
        <v>67.41492058724711</v>
      </c>
      <c r="Z18">
        <v>69.576137020245127</v>
      </c>
      <c r="AA18">
        <v>63</v>
      </c>
      <c r="AB18">
        <v>63</v>
      </c>
      <c r="AC18">
        <f t="shared" si="2"/>
        <v>-4.41492058724711</v>
      </c>
    </row>
    <row r="19" spans="1:29" x14ac:dyDescent="0.35">
      <c r="A19" t="s">
        <v>32</v>
      </c>
      <c r="B19" t="s">
        <v>33</v>
      </c>
      <c r="C19">
        <v>2024</v>
      </c>
      <c r="D19" t="s">
        <v>107</v>
      </c>
      <c r="E19" t="s">
        <v>67</v>
      </c>
      <c r="F19" t="s">
        <v>85</v>
      </c>
      <c r="G19" t="s">
        <v>66</v>
      </c>
      <c r="H19" t="s">
        <v>99</v>
      </c>
      <c r="I19" t="s">
        <v>70</v>
      </c>
      <c r="J19">
        <v>8.1</v>
      </c>
      <c r="K19">
        <v>20.9</v>
      </c>
      <c r="L19">
        <f t="shared" si="1"/>
        <v>0.38755980861244022</v>
      </c>
      <c r="M19">
        <v>9.5361446371036884E-2</v>
      </c>
      <c r="N19">
        <v>0.35</v>
      </c>
      <c r="O19">
        <v>0.54</v>
      </c>
      <c r="Q19">
        <v>21518.13</v>
      </c>
      <c r="R19">
        <v>52.6</v>
      </c>
      <c r="S19">
        <v>38.700000000000003</v>
      </c>
      <c r="T19">
        <v>38.700000000000003</v>
      </c>
      <c r="U19">
        <f t="shared" si="0"/>
        <v>0</v>
      </c>
      <c r="V19">
        <v>0</v>
      </c>
      <c r="W19">
        <v>24.3</v>
      </c>
      <c r="X19">
        <v>100</v>
      </c>
      <c r="Y19">
        <v>63.61542100944127</v>
      </c>
      <c r="Z19">
        <v>63.400053940463124</v>
      </c>
      <c r="AA19">
        <v>64.8</v>
      </c>
      <c r="AB19">
        <v>64.8</v>
      </c>
      <c r="AC19">
        <f t="shared" si="2"/>
        <v>1.1845789905587267</v>
      </c>
    </row>
    <row r="20" spans="1:29" x14ac:dyDescent="0.35">
      <c r="A20" t="s">
        <v>34</v>
      </c>
      <c r="B20" t="s">
        <v>35</v>
      </c>
      <c r="C20">
        <v>2024</v>
      </c>
      <c r="D20" t="s">
        <v>105</v>
      </c>
      <c r="E20" t="s">
        <v>65</v>
      </c>
      <c r="F20" t="s">
        <v>84</v>
      </c>
      <c r="G20" t="s">
        <v>66</v>
      </c>
      <c r="H20" t="s">
        <v>100</v>
      </c>
      <c r="I20" t="s">
        <v>70</v>
      </c>
      <c r="J20">
        <v>6.8</v>
      </c>
      <c r="K20">
        <v>20</v>
      </c>
      <c r="L20">
        <f t="shared" si="1"/>
        <v>0.33999999999999997</v>
      </c>
      <c r="M20">
        <v>9.2783602264485079E-2</v>
      </c>
      <c r="N20">
        <v>0.24</v>
      </c>
      <c r="O20">
        <v>0.3</v>
      </c>
      <c r="P20">
        <v>0.61</v>
      </c>
      <c r="Q20">
        <v>25478.639999999999</v>
      </c>
      <c r="R20">
        <v>26.9</v>
      </c>
      <c r="S20">
        <v>17.399999999999999</v>
      </c>
      <c r="T20">
        <v>12.7</v>
      </c>
      <c r="U20">
        <f t="shared" si="0"/>
        <v>1.4492753623188408E-2</v>
      </c>
      <c r="V20">
        <v>0.1</v>
      </c>
      <c r="W20">
        <v>12.2</v>
      </c>
      <c r="X20">
        <v>76</v>
      </c>
      <c r="Y20">
        <v>63.467044654069809</v>
      </c>
      <c r="Z20">
        <v>63.545236558459479</v>
      </c>
      <c r="AA20">
        <v>64.7</v>
      </c>
      <c r="AB20">
        <v>64.3</v>
      </c>
      <c r="AC20">
        <f t="shared" si="2"/>
        <v>1.2329553459301934</v>
      </c>
    </row>
    <row r="21" spans="1:29" x14ac:dyDescent="0.35">
      <c r="A21" t="s">
        <v>36</v>
      </c>
      <c r="B21" t="s">
        <v>37</v>
      </c>
      <c r="C21">
        <v>2024</v>
      </c>
      <c r="D21" t="s">
        <v>104</v>
      </c>
      <c r="E21" t="s">
        <v>65</v>
      </c>
      <c r="F21" t="s">
        <v>84</v>
      </c>
      <c r="G21" t="s">
        <v>61</v>
      </c>
      <c r="H21" t="s">
        <v>61</v>
      </c>
      <c r="I21" t="s">
        <v>70</v>
      </c>
      <c r="J21">
        <v>8.6</v>
      </c>
      <c r="K21">
        <v>14.8</v>
      </c>
      <c r="L21">
        <f t="shared" si="1"/>
        <v>0.58108108108108103</v>
      </c>
      <c r="M21">
        <v>0.53196930946291565</v>
      </c>
      <c r="N21">
        <v>0.94</v>
      </c>
      <c r="O21">
        <v>1.22</v>
      </c>
      <c r="P21">
        <v>3.21</v>
      </c>
      <c r="Q21">
        <v>40691.370000000003</v>
      </c>
      <c r="R21">
        <v>88.4</v>
      </c>
      <c r="S21">
        <v>75.599999999999994</v>
      </c>
      <c r="T21">
        <v>69.2</v>
      </c>
      <c r="U21">
        <f t="shared" si="0"/>
        <v>0</v>
      </c>
      <c r="V21">
        <v>0</v>
      </c>
      <c r="W21">
        <v>1.6</v>
      </c>
      <c r="X21">
        <v>4.0999999999999996</v>
      </c>
      <c r="Y21">
        <v>60.074296579212451</v>
      </c>
      <c r="Z21">
        <v>60.254948873805006</v>
      </c>
      <c r="AA21">
        <v>62</v>
      </c>
      <c r="AB21">
        <v>62</v>
      </c>
      <c r="AC21">
        <f t="shared" si="2"/>
        <v>1.9257034207875492</v>
      </c>
    </row>
    <row r="22" spans="1:29" x14ac:dyDescent="0.35">
      <c r="A22" t="s">
        <v>38</v>
      </c>
      <c r="B22" t="s">
        <v>39</v>
      </c>
      <c r="C22">
        <v>2024</v>
      </c>
      <c r="D22" t="s">
        <v>106</v>
      </c>
      <c r="E22" t="s">
        <v>63</v>
      </c>
      <c r="F22" t="s">
        <v>64</v>
      </c>
      <c r="G22" t="s">
        <v>66</v>
      </c>
      <c r="H22" t="s">
        <v>100</v>
      </c>
      <c r="I22" t="s">
        <v>69</v>
      </c>
      <c r="J22">
        <v>7.5</v>
      </c>
      <c r="K22">
        <v>20.100000000000001</v>
      </c>
      <c r="L22">
        <f t="shared" si="1"/>
        <v>0.37313432835820892</v>
      </c>
      <c r="M22">
        <v>0.41279108816543697</v>
      </c>
      <c r="N22">
        <v>0.41</v>
      </c>
      <c r="O22">
        <v>0.41</v>
      </c>
      <c r="P22">
        <v>0.41</v>
      </c>
      <c r="Q22">
        <v>48388.69</v>
      </c>
      <c r="R22">
        <v>57.3</v>
      </c>
      <c r="S22">
        <v>28.6</v>
      </c>
      <c r="T22">
        <v>14.3</v>
      </c>
      <c r="U22">
        <f t="shared" si="0"/>
        <v>0.29245283018867924</v>
      </c>
      <c r="V22">
        <v>3.1</v>
      </c>
      <c r="W22">
        <v>150.9</v>
      </c>
      <c r="X22">
        <v>97.4</v>
      </c>
      <c r="Y22">
        <v>64.992236059255887</v>
      </c>
      <c r="Z22">
        <v>64.700134514228367</v>
      </c>
      <c r="AA22">
        <v>67</v>
      </c>
      <c r="AB22">
        <v>67</v>
      </c>
      <c r="AC22">
        <f t="shared" si="2"/>
        <v>2.0077639407441126</v>
      </c>
    </row>
    <row r="23" spans="1:29" x14ac:dyDescent="0.35">
      <c r="A23" t="s">
        <v>40</v>
      </c>
      <c r="B23" t="s">
        <v>41</v>
      </c>
      <c r="C23">
        <v>2024</v>
      </c>
      <c r="D23" t="s">
        <v>107</v>
      </c>
      <c r="E23" t="s">
        <v>67</v>
      </c>
      <c r="F23" t="s">
        <v>85</v>
      </c>
      <c r="G23" t="s">
        <v>66</v>
      </c>
      <c r="H23" t="s">
        <v>99</v>
      </c>
      <c r="I23" t="s">
        <v>70</v>
      </c>
      <c r="J23">
        <v>8.6</v>
      </c>
      <c r="K23">
        <v>18.3</v>
      </c>
      <c r="L23">
        <f t="shared" si="1"/>
        <v>0.4699453551912568</v>
      </c>
      <c r="M23">
        <v>0.36123226057187918</v>
      </c>
      <c r="N23">
        <v>0.53</v>
      </c>
      <c r="O23">
        <v>0.56999999999999995</v>
      </c>
      <c r="P23">
        <v>0.75</v>
      </c>
      <c r="Q23">
        <v>641285.47</v>
      </c>
      <c r="R23">
        <v>54</v>
      </c>
      <c r="S23">
        <v>40.6</v>
      </c>
      <c r="T23">
        <v>23.1</v>
      </c>
      <c r="U23">
        <f t="shared" si="0"/>
        <v>9.4736842105263161E-2</v>
      </c>
      <c r="V23">
        <v>0.9</v>
      </c>
      <c r="W23">
        <v>10.1</v>
      </c>
      <c r="X23" s="2">
        <v>73.8</v>
      </c>
      <c r="Y23">
        <v>64.03840440454664</v>
      </c>
      <c r="Z23">
        <v>63.436019109206427</v>
      </c>
      <c r="AA23">
        <v>67</v>
      </c>
      <c r="AB23">
        <v>67</v>
      </c>
      <c r="AC23">
        <f t="shared" si="2"/>
        <v>2.9615955954533604</v>
      </c>
    </row>
    <row r="24" spans="1:29" x14ac:dyDescent="0.35">
      <c r="A24" t="s">
        <v>42</v>
      </c>
      <c r="B24" t="s">
        <v>43</v>
      </c>
      <c r="C24">
        <v>2024</v>
      </c>
      <c r="D24" t="s">
        <v>107</v>
      </c>
      <c r="E24" t="s">
        <v>67</v>
      </c>
      <c r="F24" t="s">
        <v>85</v>
      </c>
      <c r="G24" t="s">
        <v>61</v>
      </c>
      <c r="H24" t="s">
        <v>61</v>
      </c>
      <c r="I24" t="s">
        <v>70</v>
      </c>
      <c r="J24">
        <v>11.2</v>
      </c>
      <c r="K24">
        <v>19.2</v>
      </c>
      <c r="L24">
        <f t="shared" si="1"/>
        <v>0.58333333333333337</v>
      </c>
      <c r="M24">
        <v>0.12210244537619916</v>
      </c>
      <c r="N24">
        <v>0.63</v>
      </c>
      <c r="O24">
        <v>0.69</v>
      </c>
      <c r="Q24">
        <v>98278.13</v>
      </c>
      <c r="R24">
        <v>31.3</v>
      </c>
      <c r="S24">
        <v>28.6</v>
      </c>
      <c r="T24">
        <v>28</v>
      </c>
      <c r="U24">
        <f t="shared" si="0"/>
        <v>8.8495575221238954E-3</v>
      </c>
      <c r="V24">
        <v>0.1</v>
      </c>
      <c r="W24">
        <v>8.4</v>
      </c>
      <c r="X24">
        <v>61.7</v>
      </c>
      <c r="Y24">
        <v>63.694825256283771</v>
      </c>
      <c r="Z24">
        <v>61.379986519042617</v>
      </c>
      <c r="AA24">
        <v>65</v>
      </c>
      <c r="AB24">
        <v>60</v>
      </c>
      <c r="AC24">
        <f t="shared" si="2"/>
        <v>1.3051747437162291</v>
      </c>
    </row>
    <row r="25" spans="1:29" x14ac:dyDescent="0.35">
      <c r="A25" t="s">
        <v>89</v>
      </c>
      <c r="B25" t="s">
        <v>90</v>
      </c>
      <c r="C25">
        <v>2024</v>
      </c>
      <c r="D25" t="s">
        <v>104</v>
      </c>
      <c r="E25" t="s">
        <v>65</v>
      </c>
      <c r="F25" t="s">
        <v>85</v>
      </c>
      <c r="G25" t="s">
        <v>61</v>
      </c>
      <c r="H25" t="s">
        <v>61</v>
      </c>
      <c r="I25" t="s">
        <v>70</v>
      </c>
      <c r="J25">
        <v>13</v>
      </c>
      <c r="K25">
        <v>23.8</v>
      </c>
      <c r="L25">
        <f t="shared" si="1"/>
        <v>0.54621848739495793</v>
      </c>
      <c r="M25">
        <v>0.23526034248019201</v>
      </c>
      <c r="N25">
        <v>0.74</v>
      </c>
      <c r="O25">
        <v>0.84</v>
      </c>
      <c r="Q25">
        <v>17172.38</v>
      </c>
      <c r="R25">
        <v>73.8</v>
      </c>
      <c r="S25">
        <v>72.400000000000006</v>
      </c>
      <c r="T25">
        <v>70.099999999999994</v>
      </c>
      <c r="U25">
        <f t="shared" si="0"/>
        <v>2.2556390977443608E-2</v>
      </c>
      <c r="V25">
        <v>0.3</v>
      </c>
      <c r="W25">
        <v>12.9</v>
      </c>
      <c r="X25">
        <v>18.7</v>
      </c>
      <c r="Y25">
        <v>66.49745930172493</v>
      </c>
      <c r="Z25">
        <v>64.472406099272447</v>
      </c>
      <c r="AA25">
        <v>65.3</v>
      </c>
      <c r="AB25">
        <v>65.3</v>
      </c>
      <c r="AC25">
        <f t="shared" si="2"/>
        <v>-1.1974593017249333</v>
      </c>
    </row>
    <row r="26" spans="1:29" x14ac:dyDescent="0.35">
      <c r="A26" t="s">
        <v>44</v>
      </c>
      <c r="B26" t="s">
        <v>45</v>
      </c>
      <c r="C26">
        <v>2024</v>
      </c>
      <c r="D26" t="s">
        <v>107</v>
      </c>
      <c r="E26" t="s">
        <v>65</v>
      </c>
      <c r="F26" t="s">
        <v>85</v>
      </c>
      <c r="G26" t="s">
        <v>66</v>
      </c>
      <c r="H26" t="s">
        <v>100</v>
      </c>
      <c r="I26" t="s">
        <v>70</v>
      </c>
      <c r="J26">
        <v>7.9</v>
      </c>
      <c r="K26">
        <v>17.600000000000001</v>
      </c>
      <c r="L26">
        <f t="shared" si="1"/>
        <v>0.44886363636363635</v>
      </c>
      <c r="M26">
        <v>0.172132191589772</v>
      </c>
      <c r="N26">
        <v>0.41</v>
      </c>
      <c r="O26">
        <v>0.53</v>
      </c>
      <c r="P26">
        <v>1.26</v>
      </c>
      <c r="Q26">
        <v>18606.63</v>
      </c>
      <c r="R26">
        <v>70.099999999999994</v>
      </c>
      <c r="S26">
        <v>58</v>
      </c>
      <c r="T26">
        <v>49.2</v>
      </c>
      <c r="U26">
        <f t="shared" si="0"/>
        <v>3.6585365853658527E-2</v>
      </c>
      <c r="V26">
        <v>0.3</v>
      </c>
      <c r="W26">
        <v>16.2</v>
      </c>
      <c r="X26">
        <v>55.3</v>
      </c>
      <c r="Y26">
        <v>62.711230905865399</v>
      </c>
      <c r="Z26">
        <v>61.22184201522488</v>
      </c>
      <c r="AA26">
        <v>63.2</v>
      </c>
      <c r="AB26">
        <v>63.2</v>
      </c>
      <c r="AC26">
        <f t="shared" si="2"/>
        <v>0.48876909413460368</v>
      </c>
    </row>
    <row r="27" spans="1:29" x14ac:dyDescent="0.35">
      <c r="A27" t="s">
        <v>46</v>
      </c>
      <c r="B27" t="s">
        <v>47</v>
      </c>
      <c r="C27">
        <v>2024</v>
      </c>
      <c r="D27" t="s">
        <v>107</v>
      </c>
      <c r="E27" t="s">
        <v>65</v>
      </c>
      <c r="F27" t="s">
        <v>85</v>
      </c>
      <c r="G27" t="s">
        <v>61</v>
      </c>
      <c r="H27" t="s">
        <v>61</v>
      </c>
      <c r="I27" t="s">
        <v>70</v>
      </c>
      <c r="J27">
        <v>10.7</v>
      </c>
      <c r="K27">
        <v>21.3</v>
      </c>
      <c r="L27">
        <f t="shared" si="1"/>
        <v>0.50234741784037551</v>
      </c>
      <c r="M27">
        <v>0.29506519666056696</v>
      </c>
      <c r="N27">
        <v>0.33</v>
      </c>
      <c r="O27">
        <v>0.41</v>
      </c>
      <c r="P27">
        <v>1.5</v>
      </c>
      <c r="Q27">
        <v>30263.82</v>
      </c>
      <c r="R27">
        <v>67.900000000000006</v>
      </c>
      <c r="S27">
        <v>45.9</v>
      </c>
      <c r="T27">
        <v>45.4</v>
      </c>
      <c r="U27">
        <f t="shared" si="0"/>
        <v>0</v>
      </c>
      <c r="V27">
        <v>0</v>
      </c>
      <c r="W27">
        <v>7.1</v>
      </c>
      <c r="X27">
        <v>45.3</v>
      </c>
      <c r="Y27">
        <v>60.777738528023249</v>
      </c>
      <c r="Z27">
        <v>59.498068740688325</v>
      </c>
      <c r="AA27">
        <v>62</v>
      </c>
      <c r="AB27">
        <v>62</v>
      </c>
      <c r="AC27">
        <f t="shared" si="2"/>
        <v>1.2222614719767506</v>
      </c>
    </row>
    <row r="28" spans="1:29" x14ac:dyDescent="0.35">
      <c r="A28" t="s">
        <v>48</v>
      </c>
      <c r="B28" t="s">
        <v>49</v>
      </c>
      <c r="C28">
        <v>2024</v>
      </c>
      <c r="D28" t="s">
        <v>104</v>
      </c>
      <c r="E28" t="s">
        <v>65</v>
      </c>
      <c r="F28" t="s">
        <v>85</v>
      </c>
      <c r="G28" t="s">
        <v>61</v>
      </c>
      <c r="H28" t="s">
        <v>61</v>
      </c>
      <c r="I28" t="s">
        <v>70</v>
      </c>
      <c r="J28">
        <v>12.7</v>
      </c>
      <c r="K28">
        <v>20.100000000000001</v>
      </c>
      <c r="L28">
        <f t="shared" si="1"/>
        <v>0.6318407960199004</v>
      </c>
      <c r="M28">
        <v>0.3030068749704854</v>
      </c>
      <c r="N28">
        <v>1</v>
      </c>
      <c r="O28">
        <v>1.04</v>
      </c>
      <c r="P28">
        <v>1.86</v>
      </c>
      <c r="Q28">
        <v>23928.83</v>
      </c>
      <c r="R28">
        <v>80.599999999999994</v>
      </c>
      <c r="S28">
        <v>80.400000000000006</v>
      </c>
      <c r="T28">
        <v>49.9</v>
      </c>
      <c r="U28">
        <f t="shared" si="0"/>
        <v>2.3076923076923075E-2</v>
      </c>
      <c r="V28">
        <v>0.3</v>
      </c>
      <c r="W28">
        <v>10.8</v>
      </c>
      <c r="X28">
        <v>29.5</v>
      </c>
      <c r="Y28">
        <v>62.388615795906468</v>
      </c>
      <c r="Z28">
        <v>63.007021109367898</v>
      </c>
      <c r="AA28">
        <v>65</v>
      </c>
      <c r="AB28">
        <v>65</v>
      </c>
      <c r="AC28">
        <f t="shared" si="2"/>
        <v>2.6113842040935324</v>
      </c>
    </row>
    <row r="29" spans="1:29" x14ac:dyDescent="0.35">
      <c r="A29" t="s">
        <v>50</v>
      </c>
      <c r="B29" t="s">
        <v>51</v>
      </c>
      <c r="C29">
        <v>2024</v>
      </c>
      <c r="D29" t="s">
        <v>106</v>
      </c>
      <c r="E29" t="s">
        <v>67</v>
      </c>
      <c r="F29" t="s">
        <v>85</v>
      </c>
      <c r="G29" t="s">
        <v>66</v>
      </c>
      <c r="H29" t="s">
        <v>99</v>
      </c>
      <c r="I29" t="s">
        <v>70</v>
      </c>
      <c r="J29">
        <v>10.3</v>
      </c>
      <c r="K29">
        <v>20.3</v>
      </c>
      <c r="L29">
        <f t="shared" si="1"/>
        <v>0.5073891625615764</v>
      </c>
      <c r="M29">
        <v>0.30639951359498069</v>
      </c>
      <c r="N29">
        <v>0.38</v>
      </c>
      <c r="O29">
        <v>0.44</v>
      </c>
      <c r="P29">
        <v>0.66</v>
      </c>
      <c r="Q29">
        <v>454436.1</v>
      </c>
      <c r="R29">
        <v>50.6</v>
      </c>
      <c r="S29">
        <v>50.1</v>
      </c>
      <c r="T29">
        <v>28.6</v>
      </c>
      <c r="U29">
        <f t="shared" si="0"/>
        <v>0.16260162601626016</v>
      </c>
      <c r="V29">
        <v>2</v>
      </c>
      <c r="W29">
        <v>115.8</v>
      </c>
      <c r="X29">
        <v>99.4</v>
      </c>
      <c r="Y29">
        <v>65.054448211517339</v>
      </c>
      <c r="Z29">
        <v>64.975889515106985</v>
      </c>
      <c r="AA29">
        <v>66</v>
      </c>
      <c r="AB29">
        <v>66</v>
      </c>
      <c r="AC29">
        <f t="shared" si="2"/>
        <v>0.94555178848266053</v>
      </c>
    </row>
    <row r="30" spans="1:29" x14ac:dyDescent="0.35">
      <c r="A30" t="s">
        <v>52</v>
      </c>
      <c r="B30" t="s">
        <v>53</v>
      </c>
      <c r="C30">
        <v>2024</v>
      </c>
      <c r="D30" t="s">
        <v>106</v>
      </c>
      <c r="E30" t="s">
        <v>65</v>
      </c>
      <c r="F30" t="s">
        <v>85</v>
      </c>
      <c r="G30" t="s">
        <v>65</v>
      </c>
      <c r="H30" t="s">
        <v>99</v>
      </c>
      <c r="I30" t="s">
        <v>70</v>
      </c>
      <c r="J30">
        <v>6.8</v>
      </c>
      <c r="K30">
        <v>19.100000000000001</v>
      </c>
      <c r="L30">
        <f t="shared" si="1"/>
        <v>0.35602094240837695</v>
      </c>
      <c r="M30">
        <v>0.27063173120694883</v>
      </c>
      <c r="N30">
        <v>0.33</v>
      </c>
      <c r="O30">
        <v>0.34</v>
      </c>
      <c r="P30">
        <v>0.4</v>
      </c>
      <c r="Q30">
        <v>74270.67</v>
      </c>
      <c r="R30">
        <v>35.6</v>
      </c>
      <c r="S30">
        <v>23.4</v>
      </c>
      <c r="T30">
        <v>12</v>
      </c>
      <c r="U30">
        <f t="shared" si="0"/>
        <v>0.45600000000000002</v>
      </c>
      <c r="V30">
        <v>5.7</v>
      </c>
      <c r="W30">
        <v>166.9</v>
      </c>
      <c r="X30">
        <v>81.5</v>
      </c>
      <c r="Y30">
        <v>64.24552406760678</v>
      </c>
      <c r="Z30">
        <v>64.477074389243995</v>
      </c>
      <c r="AA30">
        <v>65</v>
      </c>
      <c r="AB30">
        <v>64</v>
      </c>
      <c r="AC30">
        <f t="shared" si="2"/>
        <v>0.75447593239321975</v>
      </c>
    </row>
    <row r="31" spans="1:29" x14ac:dyDescent="0.35">
      <c r="A31" t="s">
        <v>54</v>
      </c>
      <c r="B31" t="s">
        <v>55</v>
      </c>
      <c r="C31">
        <v>2024</v>
      </c>
      <c r="D31" t="s">
        <v>106</v>
      </c>
      <c r="E31" t="s">
        <v>63</v>
      </c>
      <c r="F31" t="s">
        <v>65</v>
      </c>
      <c r="G31" t="s">
        <v>66</v>
      </c>
      <c r="H31" t="s">
        <v>100</v>
      </c>
      <c r="I31" t="s">
        <v>69</v>
      </c>
      <c r="J31">
        <v>7.8</v>
      </c>
      <c r="K31">
        <v>18.8</v>
      </c>
      <c r="L31">
        <f t="shared" si="1"/>
        <v>0.41489361702127658</v>
      </c>
      <c r="M31">
        <v>0.28977578502566714</v>
      </c>
      <c r="N31">
        <v>0.47</v>
      </c>
      <c r="O31">
        <v>0.51</v>
      </c>
      <c r="P31">
        <v>0.61</v>
      </c>
      <c r="Q31">
        <v>39523.230000000003</v>
      </c>
      <c r="R31">
        <v>44.8</v>
      </c>
      <c r="S31">
        <v>22.4</v>
      </c>
      <c r="T31">
        <v>11.2</v>
      </c>
      <c r="U31">
        <f t="shared" si="0"/>
        <v>0.28440366972477066</v>
      </c>
      <c r="V31">
        <v>3.1</v>
      </c>
      <c r="W31">
        <v>78.400000000000006</v>
      </c>
      <c r="X31">
        <v>52</v>
      </c>
      <c r="Y31">
        <v>63.784490915388261</v>
      </c>
      <c r="Z31">
        <v>63.09940931652276</v>
      </c>
      <c r="AA31">
        <v>66</v>
      </c>
      <c r="AB31">
        <v>66</v>
      </c>
      <c r="AC31">
        <f t="shared" si="2"/>
        <v>2.2155090846117389</v>
      </c>
    </row>
    <row r="32" spans="1:29" x14ac:dyDescent="0.35">
      <c r="A32" t="s">
        <v>56</v>
      </c>
      <c r="B32" t="s">
        <v>57</v>
      </c>
      <c r="C32">
        <v>2024</v>
      </c>
      <c r="D32" t="s">
        <v>106</v>
      </c>
      <c r="E32" t="s">
        <v>65</v>
      </c>
      <c r="F32" t="s">
        <v>85</v>
      </c>
      <c r="G32" t="s">
        <v>61</v>
      </c>
      <c r="H32" t="s">
        <v>61</v>
      </c>
      <c r="I32" t="s">
        <v>70</v>
      </c>
      <c r="J32">
        <v>7.2</v>
      </c>
      <c r="K32">
        <v>17.2</v>
      </c>
      <c r="L32">
        <f t="shared" si="1"/>
        <v>0.41860465116279072</v>
      </c>
      <c r="M32">
        <v>0.20314457607033728</v>
      </c>
      <c r="N32">
        <v>0.39</v>
      </c>
      <c r="O32">
        <v>0.51</v>
      </c>
      <c r="P32">
        <v>0.82</v>
      </c>
      <c r="Q32">
        <v>55704.17</v>
      </c>
      <c r="R32">
        <v>50.5</v>
      </c>
      <c r="S32">
        <v>39.700000000000003</v>
      </c>
      <c r="T32">
        <v>28.5</v>
      </c>
      <c r="U32">
        <f t="shared" si="0"/>
        <v>0.47058823529411764</v>
      </c>
      <c r="V32">
        <v>6.4</v>
      </c>
      <c r="W32">
        <v>153.30000000000001</v>
      </c>
      <c r="X32">
        <v>38.4</v>
      </c>
      <c r="Y32">
        <v>67.256444540464045</v>
      </c>
      <c r="Z32">
        <v>66.702770722518608</v>
      </c>
      <c r="AA32">
        <v>66.7</v>
      </c>
      <c r="AB32">
        <v>66.7</v>
      </c>
      <c r="AC32">
        <f t="shared" si="2"/>
        <v>-0.55644454046404235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0BA9-7AB8-41A7-88CE-138CE381E950}">
  <dimension ref="A8"/>
  <sheetViews>
    <sheetView workbookViewId="0">
      <selection activeCell="A9" sqref="A9"/>
    </sheetView>
  </sheetViews>
  <sheetFormatPr defaultRowHeight="14.5" x14ac:dyDescent="0.35"/>
  <sheetData>
    <row r="8" spans="1:1" x14ac:dyDescent="0.35">
      <c r="A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Lee</dc:creator>
  <cp:lastModifiedBy>Kun Lee</cp:lastModifiedBy>
  <dcterms:created xsi:type="dcterms:W3CDTF">2015-06-05T18:19:34Z</dcterms:created>
  <dcterms:modified xsi:type="dcterms:W3CDTF">2026-06-24T13:49:20Z</dcterms:modified>
</cp:coreProperties>
</file>